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C:\Users\Software\rubber-erp\cung_cap_dl\dieu_xe\xe_sl\"/>
    </mc:Choice>
  </mc:AlternateContent>
  <xr:revisionPtr revIDLastSave="0" documentId="13_ncr:1_{9D1BFE25-1609-48AD-9A4D-5EBEC22BF58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3" i="1"/>
  <c r="J7" i="1"/>
  <c r="J6" i="1"/>
  <c r="J5" i="1"/>
  <c r="J4" i="1"/>
  <c r="J3" i="1"/>
  <c r="L26" i="1"/>
  <c r="L27" i="1"/>
  <c r="L28" i="1"/>
  <c r="L29" i="1"/>
  <c r="L30" i="1"/>
  <c r="L25" i="1"/>
  <c r="K29" i="1"/>
  <c r="K30" i="1"/>
  <c r="K28" i="1"/>
  <c r="K27" i="1"/>
  <c r="K26" i="1"/>
  <c r="L12" i="1"/>
  <c r="L11" i="1"/>
  <c r="J12" i="1"/>
  <c r="J11" i="1"/>
  <c r="L24" i="1"/>
  <c r="L23" i="1"/>
  <c r="L9" i="1"/>
  <c r="L10" i="1"/>
  <c r="L22" i="1"/>
  <c r="J10" i="1"/>
  <c r="J9" i="1"/>
  <c r="L8" i="1"/>
  <c r="J8" i="1"/>
  <c r="L21" i="1"/>
  <c r="K21" i="1"/>
  <c r="L16" i="1"/>
  <c r="L15" i="1"/>
  <c r="L13" i="1"/>
  <c r="L14" i="1"/>
  <c r="L20" i="1"/>
  <c r="L19" i="1"/>
  <c r="K20" i="1"/>
  <c r="K19" i="1"/>
  <c r="J16" i="1"/>
  <c r="J14" i="1"/>
  <c r="L18" i="1"/>
  <c r="J13" i="1"/>
  <c r="J15" i="1"/>
  <c r="L17" i="1"/>
</calcChain>
</file>

<file path=xl/sharedStrings.xml><?xml version="1.0" encoding="utf-8"?>
<sst xmlns="http://schemas.openxmlformats.org/spreadsheetml/2006/main" count="66" uniqueCount="31">
  <si>
    <t>Ngày</t>
  </si>
  <si>
    <t>Số xe</t>
  </si>
  <si>
    <t>Mủ nước</t>
  </si>
  <si>
    <t>Mủ chén</t>
  </si>
  <si>
    <t>Mủ đông chén</t>
  </si>
  <si>
    <t>Mủ đông 
khối</t>
  </si>
  <si>
    <t>Mủ dây</t>
  </si>
  <si>
    <t>Tươi</t>
  </si>
  <si>
    <t>DRC</t>
  </si>
  <si>
    <t>Khô</t>
  </si>
  <si>
    <t>Đội</t>
  </si>
  <si>
    <t>Ghi chú</t>
  </si>
  <si>
    <t>T</t>
  </si>
  <si>
    <t>14A</t>
  </si>
  <si>
    <t>9B</t>
  </si>
  <si>
    <t>13A</t>
  </si>
  <si>
    <t>2A</t>
  </si>
  <si>
    <t>10A</t>
  </si>
  <si>
    <t>20A</t>
  </si>
  <si>
    <t>9A</t>
  </si>
  <si>
    <t>8A</t>
  </si>
  <si>
    <t>16A</t>
  </si>
  <si>
    <t>10A2</t>
  </si>
  <si>
    <t>9A2</t>
  </si>
  <si>
    <t>13A2</t>
  </si>
  <si>
    <t>2A2</t>
  </si>
  <si>
    <t>14A2</t>
  </si>
  <si>
    <t>16A2</t>
  </si>
  <si>
    <t>8A2</t>
  </si>
  <si>
    <t>20A2</t>
  </si>
  <si>
    <t>9B2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</si>
</sst>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3"/>
      <scheme val="minor"/>
    </font>
    <font>
      <sz val="11"/>
      <color theme="1"/>
      <name val="Times New Roman"/>
      <family val="1"/>
      <charset val="163"/>
    </font>
    <font>
      <sz val="10"/>
      <color theme="1"/>
      <name val="Times New Roman"/>
      <family val="1"/>
      <charset val="163"/>
    </font>
    <font>
      <sz val="10"/>
      <color theme="1"/>
      <name val="Arial"/>
      <family val="2"/>
      <charset val="163"/>
    </font>
    <font>
      <sz val="11"/>
      <color theme="1"/>
      <name val="Calibri"/>
      <family val="2"/>
      <scheme val="minor"/>
    </font>
    <font>
      <sz val="14"/>
      <color rgb="FFFF0000"/>
      <name val="Times New Roman"/>
      <family val="2"/>
    </font>
    <font>
      <sz val="12"/>
      <color theme="1"/>
      <name val="Times New Roman"/>
      <family val="1"/>
    </font>
    <font>
      <b/>
      <sz val="10"/>
      <color theme="1"/>
      <name val="Times New Roman"/>
      <family val="1"/>
      <charset val="163"/>
    </font>
    <font>
      <sz val="9"/>
      <color theme="1"/>
      <name val="Times New Roman"/>
      <family val="1"/>
      <charset val="163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34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1" fontId="7" fillId="2" borderId="1" xfId="1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6" fillId="2" borderId="1" xfId="0" applyFont="1" applyFill="1" applyBorder="1" applyAlignment="1">
      <alignment horizontal="center"/>
    </xf>
    <xf numFmtId="14" fontId="2" fillId="2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wrapText="1"/>
    </xf>
    <xf numFmtId="3" fontId="3" fillId="2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right" wrapText="1"/>
    </xf>
    <xf numFmtId="4" fontId="3" fillId="2" borderId="1" xfId="0" applyNumberFormat="1" applyFont="1" applyFill="1" applyBorder="1" applyAlignment="1">
      <alignment horizontal="right" wrapText="1"/>
    </xf>
    <xf numFmtId="14" fontId="0" fillId="2" borderId="1" xfId="0" applyNumberFormat="1" applyFill="1" applyBorder="1"/>
    <xf numFmtId="3" fontId="0" fillId="2" borderId="1" xfId="0" applyNumberFormat="1" applyFill="1" applyBorder="1"/>
    <xf numFmtId="4" fontId="0" fillId="2" borderId="1" xfId="0" applyNumberFormat="1" applyFill="1" applyBorder="1"/>
    <xf numFmtId="0" fontId="1" fillId="2" borderId="1" xfId="0" applyFont="1" applyFill="1" applyBorder="1"/>
    <xf numFmtId="3" fontId="9" fillId="2" borderId="1" xfId="0" applyNumberFormat="1" applyFont="1" applyFill="1" applyBorder="1" applyAlignment="1">
      <alignment horizontal="right" wrapText="1"/>
    </xf>
    <xf numFmtId="0" fontId="9" fillId="2" borderId="1" xfId="0" applyFont="1" applyFill="1" applyBorder="1" applyAlignment="1">
      <alignment horizontal="right" wrapText="1"/>
    </xf>
    <xf numFmtId="14" fontId="2" fillId="3" borderId="1" xfId="0" applyNumberFormat="1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center" wrapText="1"/>
    </xf>
    <xf numFmtId="0" fontId="4" fillId="3" borderId="1" xfId="0" applyFont="1" applyFill="1" applyBorder="1" applyAlignment="1">
      <alignment wrapText="1"/>
    </xf>
    <xf numFmtId="3" fontId="3" fillId="3" borderId="1" xfId="0" applyNumberFormat="1" applyFont="1" applyFill="1" applyBorder="1" applyAlignment="1">
      <alignment horizontal="right" wrapText="1"/>
    </xf>
    <xf numFmtId="0" fontId="3" fillId="3" borderId="1" xfId="0" applyFont="1" applyFill="1" applyBorder="1" applyAlignment="1">
      <alignment horizontal="right" wrapText="1"/>
    </xf>
    <xf numFmtId="4" fontId="3" fillId="3" borderId="1" xfId="0" applyNumberFormat="1" applyFont="1" applyFill="1" applyBorder="1" applyAlignment="1">
      <alignment horizontal="right" wrapText="1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4" fillId="3" borderId="1" xfId="0" applyFont="1" applyFill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wrapText="1"/>
    </xf>
    <xf numFmtId="3" fontId="0" fillId="2" borderId="1" xfId="0" applyNumberForma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4" fontId="0" fillId="2" borderId="1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4"/>
  <sheetViews>
    <sheetView tabSelected="1" topLeftCell="A7" workbookViewId="0">
      <selection activeCell="E26" sqref="E26"/>
    </sheetView>
  </sheetViews>
  <sheetFormatPr defaultRowHeight="14.4" x14ac:dyDescent="0.3"/>
  <cols>
    <col min="1" max="1" width="10.5546875" style="6" bestFit="1" customWidth="1"/>
    <col min="2" max="2" width="8.44140625" style="5" customWidth="1"/>
    <col min="3" max="3" width="8.88671875" style="5"/>
    <col min="4" max="16384" width="8.88671875" style="6"/>
  </cols>
  <sheetData>
    <row r="1" spans="1:26" s="17" customFormat="1" ht="28.8" x14ac:dyDescent="0.3">
      <c r="A1" s="3" t="s">
        <v>0</v>
      </c>
      <c r="B1" s="3" t="s">
        <v>10</v>
      </c>
      <c r="C1" s="3" t="s">
        <v>1</v>
      </c>
      <c r="D1" s="3"/>
      <c r="E1" s="3" t="s">
        <v>2</v>
      </c>
      <c r="F1" s="3"/>
      <c r="G1" s="3"/>
      <c r="H1" s="3" t="s">
        <v>3</v>
      </c>
      <c r="I1" s="3"/>
      <c r="J1" s="3"/>
      <c r="K1" s="3" t="s">
        <v>4</v>
      </c>
      <c r="L1" s="3"/>
      <c r="M1" s="3"/>
      <c r="N1" s="4" t="s">
        <v>5</v>
      </c>
      <c r="O1" s="3"/>
      <c r="P1" s="3"/>
      <c r="Q1" s="3" t="s">
        <v>6</v>
      </c>
      <c r="R1" s="3"/>
      <c r="S1" s="3" t="s">
        <v>11</v>
      </c>
    </row>
    <row r="2" spans="1:26" s="17" customFormat="1" ht="18.600000000000001" customHeight="1" x14ac:dyDescent="0.3">
      <c r="A2" s="3"/>
      <c r="B2" s="3"/>
      <c r="C2" s="3"/>
      <c r="D2" s="3" t="s">
        <v>7</v>
      </c>
      <c r="E2" s="3" t="s">
        <v>8</v>
      </c>
      <c r="F2" s="3" t="s">
        <v>9</v>
      </c>
      <c r="G2" s="3" t="s">
        <v>7</v>
      </c>
      <c r="H2" s="3" t="s">
        <v>8</v>
      </c>
      <c r="I2" s="3" t="s">
        <v>9</v>
      </c>
      <c r="J2" s="3" t="s">
        <v>7</v>
      </c>
      <c r="K2" s="3" t="s">
        <v>8</v>
      </c>
      <c r="L2" s="3" t="s">
        <v>9</v>
      </c>
      <c r="M2" s="3" t="s">
        <v>7</v>
      </c>
      <c r="N2" s="3" t="s">
        <v>8</v>
      </c>
      <c r="O2" s="3" t="s">
        <v>9</v>
      </c>
      <c r="P2" s="3" t="s">
        <v>7</v>
      </c>
      <c r="Q2" s="3" t="s">
        <v>8</v>
      </c>
      <c r="R2" s="3" t="s">
        <v>9</v>
      </c>
      <c r="S2" s="3"/>
    </row>
    <row r="3" spans="1:26" ht="15.6" x14ac:dyDescent="0.3">
      <c r="A3" s="8">
        <v>46176</v>
      </c>
      <c r="B3" s="9">
        <v>1</v>
      </c>
      <c r="C3" s="9" t="s">
        <v>20</v>
      </c>
      <c r="D3" s="10"/>
      <c r="E3" s="10"/>
      <c r="F3" s="10"/>
      <c r="G3" s="10"/>
      <c r="H3" s="10"/>
      <c r="I3" s="10"/>
      <c r="J3" s="11">
        <f>-700+5120</f>
        <v>4420</v>
      </c>
      <c r="K3" s="12">
        <v>51.06</v>
      </c>
      <c r="L3" s="33">
        <f t="shared" ref="L3:L7" si="0">J3*K3/100</f>
        <v>2256.8520000000003</v>
      </c>
      <c r="M3" s="10"/>
      <c r="N3" s="10"/>
      <c r="O3" s="10"/>
      <c r="P3" s="12">
        <v>58</v>
      </c>
      <c r="Q3" s="12">
        <v>65</v>
      </c>
      <c r="R3" s="12">
        <v>37.700000000000003</v>
      </c>
      <c r="T3" s="5"/>
      <c r="U3" s="5"/>
      <c r="V3" s="1"/>
      <c r="X3" s="2"/>
      <c r="Y3" s="1"/>
      <c r="Z3" s="5"/>
    </row>
    <row r="4" spans="1:26" ht="15.6" x14ac:dyDescent="0.3">
      <c r="A4" s="8">
        <v>46176</v>
      </c>
      <c r="B4" s="9">
        <v>1</v>
      </c>
      <c r="C4" s="9" t="s">
        <v>21</v>
      </c>
      <c r="D4" s="10"/>
      <c r="E4" s="10"/>
      <c r="F4" s="10"/>
      <c r="G4" s="10"/>
      <c r="H4" s="10"/>
      <c r="I4" s="10"/>
      <c r="J4" s="11">
        <f>5080-700</f>
        <v>4380</v>
      </c>
      <c r="K4" s="12">
        <v>51.06</v>
      </c>
      <c r="L4" s="33">
        <f t="shared" si="0"/>
        <v>2236.4280000000003</v>
      </c>
      <c r="M4" s="10"/>
      <c r="N4" s="10"/>
      <c r="O4" s="10"/>
      <c r="P4" s="12">
        <v>73</v>
      </c>
      <c r="Q4" s="12">
        <v>65</v>
      </c>
      <c r="R4" s="12">
        <v>47.45</v>
      </c>
      <c r="T4" s="5"/>
      <c r="U4" s="5"/>
      <c r="V4" s="1"/>
      <c r="X4" s="2"/>
      <c r="Y4" s="1"/>
      <c r="Z4" s="5"/>
    </row>
    <row r="5" spans="1:26" ht="15.6" x14ac:dyDescent="0.3">
      <c r="A5" s="8">
        <v>46176</v>
      </c>
      <c r="B5" s="9">
        <v>2</v>
      </c>
      <c r="C5" s="9" t="s">
        <v>18</v>
      </c>
      <c r="D5" s="10"/>
      <c r="E5" s="10"/>
      <c r="F5" s="10"/>
      <c r="G5" s="10"/>
      <c r="H5" s="10"/>
      <c r="I5" s="10"/>
      <c r="J5" s="11">
        <f>8090-1400</f>
        <v>6690</v>
      </c>
      <c r="K5" s="12">
        <v>50.34</v>
      </c>
      <c r="L5" s="33">
        <f t="shared" si="0"/>
        <v>3367.7460000000005</v>
      </c>
      <c r="M5" s="10"/>
      <c r="N5" s="10"/>
      <c r="O5" s="10"/>
      <c r="P5" s="12">
        <v>193</v>
      </c>
      <c r="Q5" s="12">
        <v>65</v>
      </c>
      <c r="R5" s="12">
        <v>125.45</v>
      </c>
      <c r="T5" s="5"/>
      <c r="U5" s="5"/>
      <c r="V5" s="1"/>
      <c r="X5" s="2"/>
      <c r="Y5" s="1"/>
      <c r="Z5" s="5"/>
    </row>
    <row r="6" spans="1:26" ht="15.6" x14ac:dyDescent="0.3">
      <c r="A6" s="8">
        <v>46176</v>
      </c>
      <c r="B6" s="9">
        <v>3</v>
      </c>
      <c r="C6" s="9" t="s">
        <v>14</v>
      </c>
      <c r="D6" s="10"/>
      <c r="E6" s="10"/>
      <c r="F6" s="10"/>
      <c r="G6" s="10"/>
      <c r="H6" s="10"/>
      <c r="I6" s="10"/>
      <c r="J6" s="11">
        <f>-1400+11800</f>
        <v>10400</v>
      </c>
      <c r="K6" s="12">
        <v>50.6</v>
      </c>
      <c r="L6" s="33">
        <f t="shared" si="0"/>
        <v>5262.4</v>
      </c>
      <c r="M6" s="10"/>
      <c r="N6" s="10"/>
      <c r="O6" s="10"/>
      <c r="P6" s="12">
        <v>203</v>
      </c>
      <c r="Q6" s="12">
        <v>65</v>
      </c>
      <c r="R6" s="12">
        <v>131.94999999999999</v>
      </c>
      <c r="T6" s="5"/>
      <c r="U6" s="5"/>
      <c r="V6" s="1"/>
      <c r="X6" s="2"/>
      <c r="Y6" s="1"/>
      <c r="Z6" s="5"/>
    </row>
    <row r="7" spans="1:26" ht="18" x14ac:dyDescent="0.35">
      <c r="A7" s="8">
        <v>46176</v>
      </c>
      <c r="B7" s="9">
        <v>4</v>
      </c>
      <c r="C7" s="9" t="s">
        <v>14</v>
      </c>
      <c r="D7" s="10"/>
      <c r="E7" s="10"/>
      <c r="F7" s="10"/>
      <c r="G7" s="10"/>
      <c r="H7" s="10"/>
      <c r="I7" s="10"/>
      <c r="J7" s="18">
        <f>6710-1400</f>
        <v>5310</v>
      </c>
      <c r="K7" s="19">
        <v>50.43</v>
      </c>
      <c r="L7" s="33">
        <f t="shared" si="0"/>
        <v>2677.8330000000001</v>
      </c>
      <c r="M7" s="10"/>
      <c r="N7" s="10"/>
      <c r="O7" s="10"/>
      <c r="P7" s="12">
        <v>75</v>
      </c>
      <c r="Q7" s="12">
        <v>65</v>
      </c>
      <c r="R7" s="12">
        <v>48.75</v>
      </c>
      <c r="T7" s="1"/>
      <c r="V7" s="5"/>
      <c r="W7" s="5"/>
      <c r="X7" s="5"/>
      <c r="Y7" s="5"/>
      <c r="Z7" s="7"/>
    </row>
    <row r="8" spans="1:26" x14ac:dyDescent="0.3">
      <c r="A8" s="8">
        <v>46176</v>
      </c>
      <c r="B8" s="9">
        <v>5</v>
      </c>
      <c r="C8" s="9" t="s">
        <v>15</v>
      </c>
      <c r="D8" s="10"/>
      <c r="E8" s="10"/>
      <c r="F8" s="10"/>
      <c r="G8" s="10"/>
      <c r="H8" s="10"/>
      <c r="I8" s="10"/>
      <c r="J8" s="11">
        <f>3620-J21</f>
        <v>2220</v>
      </c>
      <c r="K8" s="12">
        <v>51.09</v>
      </c>
      <c r="L8" s="16">
        <f>J8*K8/100</f>
        <v>1134.1980000000001</v>
      </c>
      <c r="M8" s="10"/>
      <c r="N8" s="10"/>
      <c r="O8" s="10"/>
      <c r="P8" s="12">
        <v>105</v>
      </c>
      <c r="Q8" s="12">
        <v>65</v>
      </c>
      <c r="R8" s="12">
        <v>68.25</v>
      </c>
      <c r="T8" s="1"/>
      <c r="U8" s="17"/>
      <c r="V8" s="17"/>
      <c r="W8" s="17"/>
      <c r="X8" s="17"/>
      <c r="Y8" s="17"/>
      <c r="Z8" s="17"/>
    </row>
    <row r="9" spans="1:26" x14ac:dyDescent="0.3">
      <c r="A9" s="8">
        <v>46176</v>
      </c>
      <c r="B9" s="9">
        <v>6</v>
      </c>
      <c r="C9" s="9" t="s">
        <v>16</v>
      </c>
      <c r="D9" s="10"/>
      <c r="E9" s="10"/>
      <c r="F9" s="10"/>
      <c r="G9" s="10"/>
      <c r="H9" s="10"/>
      <c r="I9" s="10"/>
      <c r="J9" s="11">
        <f>3780-1400</f>
        <v>2380</v>
      </c>
      <c r="K9" s="12">
        <v>51.24</v>
      </c>
      <c r="L9" s="16">
        <f>J9*K9/100</f>
        <v>1219.5120000000002</v>
      </c>
      <c r="M9" s="10"/>
      <c r="N9" s="10"/>
      <c r="O9" s="10"/>
      <c r="P9" s="12">
        <v>188</v>
      </c>
      <c r="Q9" s="12">
        <v>65</v>
      </c>
      <c r="R9" s="12">
        <v>122.2</v>
      </c>
      <c r="T9" s="1"/>
      <c r="U9" s="17"/>
      <c r="V9" s="17"/>
      <c r="W9" s="17"/>
      <c r="X9" s="17"/>
      <c r="Y9" s="17"/>
      <c r="Z9" s="17"/>
    </row>
    <row r="10" spans="1:26" x14ac:dyDescent="0.3">
      <c r="A10" s="8">
        <v>46176</v>
      </c>
      <c r="B10" s="9">
        <v>7</v>
      </c>
      <c r="C10" s="9" t="s">
        <v>16</v>
      </c>
      <c r="D10" s="10"/>
      <c r="E10" s="10"/>
      <c r="F10" s="10"/>
      <c r="G10" s="10"/>
      <c r="H10" s="10"/>
      <c r="I10" s="10"/>
      <c r="J10" s="11">
        <f>1850-700</f>
        <v>1150</v>
      </c>
      <c r="K10" s="12">
        <v>51.3</v>
      </c>
      <c r="L10" s="16">
        <f t="shared" ref="L9:L11" si="1">J10*K10/100</f>
        <v>589.95000000000005</v>
      </c>
      <c r="M10" s="10"/>
      <c r="N10" s="10"/>
      <c r="O10" s="10"/>
      <c r="P10" s="12">
        <v>95</v>
      </c>
      <c r="Q10" s="12">
        <v>65</v>
      </c>
      <c r="R10" s="12">
        <v>61.75</v>
      </c>
      <c r="T10" s="1"/>
      <c r="U10" s="17"/>
      <c r="V10" s="17"/>
      <c r="W10" s="17"/>
      <c r="X10" s="17"/>
      <c r="Y10" s="17"/>
      <c r="Z10" s="17"/>
    </row>
    <row r="11" spans="1:26" x14ac:dyDescent="0.3">
      <c r="A11" s="8">
        <v>46176</v>
      </c>
      <c r="B11" s="9">
        <v>7</v>
      </c>
      <c r="C11" s="9" t="s">
        <v>13</v>
      </c>
      <c r="D11" s="10"/>
      <c r="E11" s="10"/>
      <c r="F11" s="10"/>
      <c r="G11" s="10"/>
      <c r="H11" s="10"/>
      <c r="I11" s="10"/>
      <c r="J11" s="11">
        <f>970-J24</f>
        <v>270</v>
      </c>
      <c r="K11" s="12">
        <v>51.3</v>
      </c>
      <c r="L11" s="33">
        <f>J11*K11/100</f>
        <v>138.51</v>
      </c>
      <c r="M11" s="10"/>
      <c r="N11" s="10"/>
      <c r="O11" s="10"/>
      <c r="P11" s="12">
        <v>44</v>
      </c>
      <c r="Q11" s="12">
        <v>65</v>
      </c>
      <c r="R11" s="12">
        <v>28.6</v>
      </c>
    </row>
    <row r="12" spans="1:26" x14ac:dyDescent="0.3">
      <c r="A12" s="8">
        <v>46176</v>
      </c>
      <c r="B12" s="9">
        <v>8</v>
      </c>
      <c r="C12" s="9" t="s">
        <v>13</v>
      </c>
      <c r="D12" s="10"/>
      <c r="E12" s="10"/>
      <c r="F12" s="10"/>
      <c r="G12" s="10"/>
      <c r="H12" s="10"/>
      <c r="I12" s="10"/>
      <c r="J12" s="11">
        <f>3090-J25</f>
        <v>1690</v>
      </c>
      <c r="K12" s="12">
        <v>50.96</v>
      </c>
      <c r="L12" s="33">
        <f>J12*K12/100</f>
        <v>861.22399999999993</v>
      </c>
      <c r="M12" s="10"/>
      <c r="N12" s="10"/>
      <c r="O12" s="10"/>
      <c r="P12" s="12">
        <v>167</v>
      </c>
      <c r="Q12" s="12">
        <v>65</v>
      </c>
      <c r="R12" s="12">
        <v>108.55</v>
      </c>
    </row>
    <row r="13" spans="1:26" s="26" customFormat="1" x14ac:dyDescent="0.3">
      <c r="A13" s="20">
        <v>46176</v>
      </c>
      <c r="B13" s="21">
        <v>9</v>
      </c>
      <c r="C13" s="21" t="s">
        <v>17</v>
      </c>
      <c r="D13" s="22"/>
      <c r="E13" s="22"/>
      <c r="F13" s="22"/>
      <c r="G13" s="22"/>
      <c r="H13" s="22"/>
      <c r="I13" s="22"/>
      <c r="J13" s="23">
        <f>4180-1400</f>
        <v>2780</v>
      </c>
      <c r="K13" s="24">
        <v>52.1</v>
      </c>
      <c r="L13" s="25">
        <f>J13*K13/100</f>
        <v>1448.38</v>
      </c>
      <c r="M13" s="22"/>
      <c r="N13" s="22"/>
      <c r="O13" s="22"/>
      <c r="P13" s="24">
        <v>124</v>
      </c>
      <c r="Q13" s="24">
        <v>65</v>
      </c>
      <c r="R13" s="24">
        <v>80.599999999999994</v>
      </c>
    </row>
    <row r="14" spans="1:26" x14ac:dyDescent="0.3">
      <c r="A14" s="8">
        <v>46176</v>
      </c>
      <c r="B14" s="9">
        <v>10</v>
      </c>
      <c r="C14" s="9" t="s">
        <v>19</v>
      </c>
      <c r="D14" s="10"/>
      <c r="E14" s="10"/>
      <c r="F14" s="10"/>
      <c r="G14" s="10"/>
      <c r="H14" s="10"/>
      <c r="I14" s="10"/>
      <c r="J14" s="11">
        <f>4060-1400</f>
        <v>2660</v>
      </c>
      <c r="K14" s="12">
        <v>51.19</v>
      </c>
      <c r="L14" s="25">
        <f>J14*K14/100</f>
        <v>1361.654</v>
      </c>
      <c r="M14" s="10"/>
      <c r="N14" s="10"/>
      <c r="O14" s="10"/>
      <c r="P14" s="12">
        <v>115</v>
      </c>
      <c r="Q14" s="12">
        <v>65</v>
      </c>
      <c r="R14" s="12">
        <v>74.75</v>
      </c>
    </row>
    <row r="15" spans="1:26" s="26" customFormat="1" x14ac:dyDescent="0.3">
      <c r="A15" s="20">
        <v>46176</v>
      </c>
      <c r="B15" s="21">
        <v>11</v>
      </c>
      <c r="C15" s="21" t="s">
        <v>17</v>
      </c>
      <c r="D15" s="22"/>
      <c r="E15" s="22"/>
      <c r="F15" s="22"/>
      <c r="G15" s="22"/>
      <c r="H15" s="22"/>
      <c r="I15" s="22"/>
      <c r="J15" s="23">
        <f>4620-1400</f>
        <v>3220</v>
      </c>
      <c r="K15" s="24">
        <v>52.3</v>
      </c>
      <c r="L15" s="25">
        <f>J15*K15/100</f>
        <v>1684.06</v>
      </c>
      <c r="M15" s="22"/>
      <c r="N15" s="22"/>
      <c r="O15" s="22"/>
      <c r="P15" s="24">
        <v>66</v>
      </c>
      <c r="Q15" s="24">
        <v>65</v>
      </c>
      <c r="R15" s="24">
        <v>42.9</v>
      </c>
    </row>
    <row r="16" spans="1:26" x14ac:dyDescent="0.3">
      <c r="A16" s="8">
        <v>46176</v>
      </c>
      <c r="B16" s="9">
        <v>12</v>
      </c>
      <c r="C16" s="9" t="s">
        <v>19</v>
      </c>
      <c r="D16" s="10"/>
      <c r="E16" s="10"/>
      <c r="F16" s="10"/>
      <c r="G16" s="10"/>
      <c r="H16" s="10"/>
      <c r="I16" s="10"/>
      <c r="J16" s="11">
        <f>3560-1400</f>
        <v>2160</v>
      </c>
      <c r="K16" s="12">
        <v>52.28</v>
      </c>
      <c r="L16" s="25">
        <f>J16*K16/100</f>
        <v>1129.248</v>
      </c>
      <c r="M16" s="10"/>
      <c r="N16" s="10"/>
      <c r="O16" s="10"/>
      <c r="P16" s="12">
        <v>288</v>
      </c>
      <c r="Q16" s="12">
        <v>65</v>
      </c>
      <c r="R16" s="12">
        <v>187.2</v>
      </c>
    </row>
    <row r="17" spans="1:25" s="27" customFormat="1" x14ac:dyDescent="0.3">
      <c r="A17" s="20">
        <v>46176</v>
      </c>
      <c r="B17" s="21">
        <v>9</v>
      </c>
      <c r="C17" s="27" t="s">
        <v>22</v>
      </c>
      <c r="D17" s="28"/>
      <c r="E17" s="28"/>
      <c r="F17" s="28"/>
      <c r="G17" s="28"/>
      <c r="H17" s="28"/>
      <c r="I17" s="28"/>
      <c r="J17" s="23">
        <v>1400</v>
      </c>
      <c r="K17" s="24">
        <v>52.1</v>
      </c>
      <c r="L17" s="25">
        <f>J17*K17/100</f>
        <v>729.4</v>
      </c>
      <c r="M17" s="28"/>
      <c r="N17" s="28"/>
      <c r="O17" s="28"/>
      <c r="S17" s="27" t="s">
        <v>12</v>
      </c>
    </row>
    <row r="18" spans="1:25" s="27" customFormat="1" x14ac:dyDescent="0.3">
      <c r="A18" s="8">
        <v>46176</v>
      </c>
      <c r="B18" s="21">
        <v>11</v>
      </c>
      <c r="C18" s="21" t="s">
        <v>22</v>
      </c>
      <c r="D18" s="28"/>
      <c r="E18" s="28"/>
      <c r="F18" s="28"/>
      <c r="G18" s="28"/>
      <c r="H18" s="28"/>
      <c r="I18" s="28"/>
      <c r="J18" s="23">
        <v>1400</v>
      </c>
      <c r="K18" s="24">
        <v>52.3</v>
      </c>
      <c r="L18" s="25">
        <f>J18*K18/100</f>
        <v>732.2</v>
      </c>
      <c r="M18" s="28"/>
      <c r="N18" s="28"/>
      <c r="O18" s="28"/>
      <c r="S18" s="27" t="s">
        <v>12</v>
      </c>
    </row>
    <row r="19" spans="1:25" s="5" customFormat="1" ht="15.6" x14ac:dyDescent="0.3">
      <c r="A19" s="20">
        <v>46176</v>
      </c>
      <c r="B19" s="9">
        <v>10</v>
      </c>
      <c r="C19" s="9" t="s">
        <v>23</v>
      </c>
      <c r="D19" s="29"/>
      <c r="E19" s="29"/>
      <c r="F19" s="29"/>
      <c r="G19" s="29"/>
      <c r="H19" s="29"/>
      <c r="I19" s="29"/>
      <c r="J19" s="11">
        <v>1400</v>
      </c>
      <c r="K19" s="12">
        <f>K14</f>
        <v>51.19</v>
      </c>
      <c r="L19" s="13">
        <f>J19*K19/100</f>
        <v>716.66</v>
      </c>
      <c r="M19" s="29"/>
      <c r="N19" s="29"/>
      <c r="O19" s="29"/>
      <c r="P19" s="9"/>
      <c r="Q19" s="30"/>
      <c r="R19" s="30"/>
      <c r="S19" s="27" t="s">
        <v>12</v>
      </c>
      <c r="V19" s="1"/>
      <c r="X19" s="2"/>
      <c r="Y19" s="1"/>
    </row>
    <row r="20" spans="1:25" s="5" customFormat="1" ht="15.6" x14ac:dyDescent="0.3">
      <c r="A20" s="8">
        <v>46176</v>
      </c>
      <c r="B20" s="9">
        <v>12</v>
      </c>
      <c r="C20" s="9" t="s">
        <v>23</v>
      </c>
      <c r="D20" s="29"/>
      <c r="E20" s="29"/>
      <c r="F20" s="29"/>
      <c r="G20" s="29"/>
      <c r="H20" s="29"/>
      <c r="I20" s="29"/>
      <c r="J20" s="11">
        <v>1400</v>
      </c>
      <c r="K20" s="12">
        <f>K16</f>
        <v>52.28</v>
      </c>
      <c r="L20" s="13">
        <f>J20*K20/100</f>
        <v>731.92</v>
      </c>
      <c r="M20" s="29"/>
      <c r="N20" s="29"/>
      <c r="O20" s="29"/>
      <c r="P20" s="9"/>
      <c r="Q20" s="30"/>
      <c r="R20" s="30"/>
      <c r="S20" s="27" t="s">
        <v>12</v>
      </c>
      <c r="V20" s="1"/>
      <c r="X20" s="2"/>
      <c r="Y20" s="1"/>
    </row>
    <row r="21" spans="1:25" s="5" customFormat="1" x14ac:dyDescent="0.3">
      <c r="A21" s="20">
        <v>46176</v>
      </c>
      <c r="B21" s="5">
        <v>5</v>
      </c>
      <c r="C21" s="5" t="s">
        <v>24</v>
      </c>
      <c r="J21" s="31">
        <v>1400</v>
      </c>
      <c r="K21" s="32">
        <f>K8</f>
        <v>51.09</v>
      </c>
      <c r="L21" s="33">
        <f>J21*K21/100</f>
        <v>715.26</v>
      </c>
      <c r="S21" s="27" t="s">
        <v>12</v>
      </c>
    </row>
    <row r="22" spans="1:25" s="5" customFormat="1" x14ac:dyDescent="0.3">
      <c r="A22" s="8">
        <v>46176</v>
      </c>
      <c r="B22" s="5">
        <v>6</v>
      </c>
      <c r="C22" s="5" t="s">
        <v>25</v>
      </c>
      <c r="J22" s="31">
        <v>1400</v>
      </c>
      <c r="K22" s="12">
        <v>51.24</v>
      </c>
      <c r="L22" s="33">
        <f>J22*K22/100</f>
        <v>717.36</v>
      </c>
      <c r="S22" s="27" t="s">
        <v>12</v>
      </c>
    </row>
    <row r="23" spans="1:25" s="5" customFormat="1" x14ac:dyDescent="0.3">
      <c r="A23" s="20">
        <v>46176</v>
      </c>
      <c r="B23" s="5">
        <v>7</v>
      </c>
      <c r="C23" s="5" t="s">
        <v>25</v>
      </c>
      <c r="J23" s="31">
        <v>700</v>
      </c>
      <c r="K23" s="12">
        <v>51.3</v>
      </c>
      <c r="L23" s="33">
        <f>J23*K23/100</f>
        <v>359.1</v>
      </c>
      <c r="S23" s="27" t="s">
        <v>12</v>
      </c>
    </row>
    <row r="24" spans="1:25" ht="16.8" customHeight="1" x14ac:dyDescent="0.3">
      <c r="A24" s="8">
        <v>46176</v>
      </c>
      <c r="B24" s="5">
        <v>7</v>
      </c>
      <c r="C24" s="5" t="s">
        <v>26</v>
      </c>
      <c r="J24" s="15">
        <v>700</v>
      </c>
      <c r="K24" s="12">
        <v>51.3</v>
      </c>
      <c r="L24" s="33">
        <f t="shared" ref="L24:L25" si="2">J24*K24/100</f>
        <v>359.1</v>
      </c>
      <c r="S24" s="27" t="s">
        <v>12</v>
      </c>
    </row>
    <row r="25" spans="1:25" x14ac:dyDescent="0.3">
      <c r="A25" s="20">
        <v>46176</v>
      </c>
      <c r="B25" s="5">
        <v>8</v>
      </c>
      <c r="C25" s="5" t="s">
        <v>26</v>
      </c>
      <c r="J25" s="15">
        <v>1400</v>
      </c>
      <c r="K25" s="12">
        <v>50.96</v>
      </c>
      <c r="L25" s="33">
        <f>J25*K25/100</f>
        <v>713.44</v>
      </c>
      <c r="S25" s="27" t="s">
        <v>12</v>
      </c>
    </row>
    <row r="26" spans="1:25" x14ac:dyDescent="0.3">
      <c r="A26" s="8">
        <v>46176</v>
      </c>
      <c r="B26" s="5">
        <v>1</v>
      </c>
      <c r="C26" s="5" t="s">
        <v>27</v>
      </c>
      <c r="J26" s="15">
        <v>700</v>
      </c>
      <c r="K26" s="6">
        <f>K4</f>
        <v>51.06</v>
      </c>
      <c r="L26" s="33">
        <f t="shared" ref="L26:L30" si="3">J26*K26/100</f>
        <v>357.42</v>
      </c>
      <c r="S26" s="27" t="s">
        <v>12</v>
      </c>
    </row>
    <row r="27" spans="1:25" x14ac:dyDescent="0.3">
      <c r="A27" s="20">
        <v>46176</v>
      </c>
      <c r="B27" s="5">
        <v>1</v>
      </c>
      <c r="C27" s="5" t="s">
        <v>28</v>
      </c>
      <c r="J27" s="15">
        <v>700</v>
      </c>
      <c r="K27" s="6">
        <f>K26</f>
        <v>51.06</v>
      </c>
      <c r="L27" s="33">
        <f t="shared" si="3"/>
        <v>357.42</v>
      </c>
      <c r="S27" s="27" t="s">
        <v>12</v>
      </c>
    </row>
    <row r="28" spans="1:25" x14ac:dyDescent="0.3">
      <c r="A28" s="8">
        <v>46176</v>
      </c>
      <c r="B28" s="5">
        <v>2</v>
      </c>
      <c r="C28" s="5" t="s">
        <v>29</v>
      </c>
      <c r="J28" s="15">
        <v>1400</v>
      </c>
      <c r="K28" s="6">
        <f>K5</f>
        <v>50.34</v>
      </c>
      <c r="L28" s="33">
        <f t="shared" si="3"/>
        <v>704.76</v>
      </c>
      <c r="S28" s="27" t="s">
        <v>12</v>
      </c>
    </row>
    <row r="29" spans="1:25" x14ac:dyDescent="0.3">
      <c r="A29" s="20">
        <v>46176</v>
      </c>
      <c r="B29" s="5">
        <v>3</v>
      </c>
      <c r="C29" s="5" t="s">
        <v>30</v>
      </c>
      <c r="J29" s="15">
        <v>1400</v>
      </c>
      <c r="K29" s="6">
        <f>K6</f>
        <v>50.6</v>
      </c>
      <c r="L29" s="33">
        <f t="shared" si="3"/>
        <v>708.4</v>
      </c>
      <c r="S29" s="27" t="s">
        <v>12</v>
      </c>
    </row>
    <row r="30" spans="1:25" x14ac:dyDescent="0.3">
      <c r="A30" s="8">
        <v>46176</v>
      </c>
      <c r="B30" s="5">
        <v>4</v>
      </c>
      <c r="C30" s="5" t="s">
        <v>30</v>
      </c>
      <c r="J30" s="15">
        <v>1400</v>
      </c>
      <c r="K30" s="6">
        <f>K7</f>
        <v>50.43</v>
      </c>
      <c r="L30" s="33">
        <f t="shared" si="3"/>
        <v>706.02</v>
      </c>
      <c r="S30" s="27" t="s">
        <v>12</v>
      </c>
    </row>
    <row r="31" spans="1:25" x14ac:dyDescent="0.3">
      <c r="J31" s="15"/>
      <c r="L31" s="16"/>
    </row>
    <row r="32" spans="1:25" x14ac:dyDescent="0.3">
      <c r="J32" s="15"/>
      <c r="L32" s="16"/>
    </row>
    <row r="33" spans="1:12" x14ac:dyDescent="0.3">
      <c r="A33" s="14"/>
      <c r="J33" s="15"/>
      <c r="L33" s="16"/>
    </row>
    <row r="34" spans="1:12" x14ac:dyDescent="0.3">
      <c r="A34" s="14"/>
      <c r="J34" s="15"/>
      <c r="L34" s="16"/>
    </row>
    <row r="35" spans="1:12" x14ac:dyDescent="0.3">
      <c r="A35" s="14"/>
      <c r="J35" s="15"/>
      <c r="L35" s="16"/>
    </row>
    <row r="36" spans="1:12" x14ac:dyDescent="0.3">
      <c r="A36" s="14"/>
      <c r="J36" s="15"/>
      <c r="L36" s="16"/>
    </row>
    <row r="37" spans="1:12" x14ac:dyDescent="0.3">
      <c r="A37" s="14"/>
      <c r="J37" s="15"/>
      <c r="L37" s="16"/>
    </row>
    <row r="38" spans="1:12" x14ac:dyDescent="0.3">
      <c r="A38" s="14"/>
      <c r="J38" s="15"/>
      <c r="L38" s="16"/>
    </row>
    <row r="39" spans="1:12" x14ac:dyDescent="0.3">
      <c r="A39" s="14"/>
      <c r="J39" s="15"/>
      <c r="L39" s="16"/>
    </row>
    <row r="40" spans="1:12" x14ac:dyDescent="0.3">
      <c r="A40" s="14"/>
      <c r="J40" s="15"/>
      <c r="L40" s="16"/>
    </row>
    <row r="41" spans="1:12" x14ac:dyDescent="0.3">
      <c r="A41" s="14"/>
      <c r="J41" s="15"/>
      <c r="L41" s="16"/>
    </row>
    <row r="42" spans="1:12" x14ac:dyDescent="0.3">
      <c r="A42" s="14"/>
      <c r="J42" s="15"/>
      <c r="L42" s="16"/>
    </row>
    <row r="43" spans="1:12" x14ac:dyDescent="0.3">
      <c r="J43" s="15"/>
      <c r="L43" s="16"/>
    </row>
    <row r="44" spans="1:12" x14ac:dyDescent="0.3">
      <c r="J44" s="15"/>
      <c r="L44" s="16"/>
    </row>
    <row r="45" spans="1:12" x14ac:dyDescent="0.3">
      <c r="J45" s="15"/>
      <c r="L45" s="16"/>
    </row>
    <row r="46" spans="1:12" x14ac:dyDescent="0.3">
      <c r="J46" s="15"/>
      <c r="L46" s="16"/>
    </row>
    <row r="47" spans="1:12" x14ac:dyDescent="0.3">
      <c r="J47" s="15"/>
      <c r="L47" s="16"/>
    </row>
    <row r="48" spans="1:12" x14ac:dyDescent="0.3">
      <c r="J48" s="15"/>
      <c r="L48" s="16"/>
    </row>
    <row r="49" spans="1:12" x14ac:dyDescent="0.3">
      <c r="J49" s="15"/>
      <c r="L49" s="16"/>
    </row>
    <row r="50" spans="1:12" x14ac:dyDescent="0.3">
      <c r="J50" s="15"/>
      <c r="L50" s="16"/>
    </row>
    <row r="51" spans="1:12" x14ac:dyDescent="0.3">
      <c r="A51" s="14"/>
      <c r="J51" s="15"/>
      <c r="L51" s="16"/>
    </row>
    <row r="52" spans="1:12" x14ac:dyDescent="0.3">
      <c r="A52" s="14"/>
      <c r="J52" s="15"/>
      <c r="L52" s="16"/>
    </row>
    <row r="53" spans="1:12" x14ac:dyDescent="0.3">
      <c r="A53" s="14"/>
      <c r="J53" s="15"/>
      <c r="L53" s="16"/>
    </row>
    <row r="54" spans="1:12" x14ac:dyDescent="0.3">
      <c r="A54" s="14"/>
      <c r="J54" s="15"/>
      <c r="L54" s="16"/>
    </row>
    <row r="55" spans="1:12" x14ac:dyDescent="0.3">
      <c r="A55" s="14"/>
      <c r="J55" s="15"/>
      <c r="L55" s="16"/>
    </row>
    <row r="56" spans="1:12" x14ac:dyDescent="0.3">
      <c r="A56" s="14"/>
      <c r="J56" s="15"/>
      <c r="L56" s="16"/>
    </row>
    <row r="57" spans="1:12" x14ac:dyDescent="0.3">
      <c r="A57" s="14"/>
      <c r="J57" s="15"/>
      <c r="L57" s="16"/>
    </row>
    <row r="58" spans="1:12" x14ac:dyDescent="0.3">
      <c r="A58" s="14"/>
      <c r="J58" s="15"/>
      <c r="L58" s="16"/>
    </row>
    <row r="59" spans="1:12" x14ac:dyDescent="0.3">
      <c r="A59" s="14"/>
      <c r="J59" s="15"/>
      <c r="L59" s="16"/>
    </row>
    <row r="60" spans="1:12" x14ac:dyDescent="0.3">
      <c r="A60" s="14"/>
      <c r="J60" s="15"/>
      <c r="L60" s="16"/>
    </row>
    <row r="61" spans="1:12" x14ac:dyDescent="0.3">
      <c r="A61" s="14"/>
      <c r="J61" s="15"/>
      <c r="L61" s="16"/>
    </row>
    <row r="62" spans="1:12" x14ac:dyDescent="0.3">
      <c r="A62" s="14"/>
      <c r="J62" s="15"/>
      <c r="L62" s="16"/>
    </row>
    <row r="63" spans="1:12" x14ac:dyDescent="0.3">
      <c r="A63" s="14"/>
      <c r="J63" s="15"/>
      <c r="L63" s="16"/>
    </row>
    <row r="64" spans="1:12" x14ac:dyDescent="0.3">
      <c r="A64" s="14"/>
      <c r="J64" s="15"/>
      <c r="L64" s="16"/>
    </row>
    <row r="65" spans="1:12" x14ac:dyDescent="0.3">
      <c r="A65" s="14"/>
      <c r="J65" s="15"/>
      <c r="L65" s="16"/>
    </row>
    <row r="66" spans="1:12" x14ac:dyDescent="0.3">
      <c r="A66" s="14"/>
      <c r="J66" s="15"/>
      <c r="L66" s="16"/>
    </row>
    <row r="67" spans="1:12" x14ac:dyDescent="0.3">
      <c r="A67" s="14"/>
      <c r="J67" s="15"/>
      <c r="L67" s="16"/>
    </row>
    <row r="68" spans="1:12" x14ac:dyDescent="0.3">
      <c r="A68" s="14"/>
      <c r="J68" s="15"/>
      <c r="L68" s="16"/>
    </row>
    <row r="69" spans="1:12" x14ac:dyDescent="0.3">
      <c r="A69" s="14"/>
      <c r="J69" s="15"/>
      <c r="L69" s="16"/>
    </row>
    <row r="70" spans="1:12" x14ac:dyDescent="0.3">
      <c r="A70" s="14"/>
      <c r="J70" s="15"/>
      <c r="L70" s="16"/>
    </row>
    <row r="71" spans="1:12" x14ac:dyDescent="0.3">
      <c r="A71" s="14"/>
      <c r="J71" s="15"/>
      <c r="L71" s="16"/>
    </row>
    <row r="72" spans="1:12" x14ac:dyDescent="0.3">
      <c r="A72" s="14"/>
      <c r="J72" s="15"/>
      <c r="L72" s="16"/>
    </row>
    <row r="73" spans="1:12" x14ac:dyDescent="0.3">
      <c r="A73" s="14"/>
      <c r="J73" s="15"/>
      <c r="L73" s="16"/>
    </row>
    <row r="74" spans="1:12" x14ac:dyDescent="0.3">
      <c r="A74" s="14"/>
      <c r="J74" s="15"/>
      <c r="L74" s="16"/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</dc:creator>
  <cp:lastModifiedBy>Software</cp:lastModifiedBy>
  <dcterms:created xsi:type="dcterms:W3CDTF">2015-06-05T18:17:20Z</dcterms:created>
  <dcterms:modified xsi:type="dcterms:W3CDTF">2026-06-08T03:24:00Z</dcterms:modified>
</cp:coreProperties>
</file>